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lients" state="visible" r:id="rId5"/>
    <sheet sheetId="3" name="Monthly P&amp;L" state="visible" r:id="rId6"/>
  </sheets>
  <calcPr calcId="171027" fullCalcOnLoad="1"/>
</workbook>
</file>

<file path=xl/sharedStrings.xml><?xml version="1.0" encoding="utf-8"?>
<sst xmlns="http://schemas.openxmlformats.org/spreadsheetml/2006/main" count="86" uniqueCount="55">
  <si>
    <t>Delta Cleaning — Operations &amp; Finance Dashboard</t>
  </si>
  <si>
    <t>Snapshot from live data · 28 June 2026 · figures recalculate if you edit the Clients / Monthly P&amp;L tabs</t>
  </si>
  <si>
    <t>Active clients</t>
  </si>
  <si>
    <t>Monthly recurring (MRR)</t>
  </si>
  <si>
    <t>Annual run-rate</t>
  </si>
  <si>
    <t>Monthly profit (active)</t>
  </si>
  <si>
    <t>Avg margin (active)</t>
  </si>
  <si>
    <t>Last month income (Jun)</t>
  </si>
  <si>
    <t>Top clients by monthly value</t>
  </si>
  <si>
    <t>Client</t>
  </si>
  <si>
    <t>Monthly</t>
  </si>
  <si>
    <t>Margin</t>
  </si>
  <si>
    <t>Client Book</t>
  </si>
  <si>
    <t>Source: Supabase clients table · 28 Jun 2026. Margin is computed (profit ÷ value).</t>
  </si>
  <si>
    <t>State</t>
  </si>
  <si>
    <t>Status</t>
  </si>
  <si>
    <t>Service</t>
  </si>
  <si>
    <t>Frequency</t>
  </si>
  <si>
    <t>Visits/mo</t>
  </si>
  <si>
    <t>Monthly Value</t>
  </si>
  <si>
    <t>Annual Value</t>
  </si>
  <si>
    <t>Monthly Profit</t>
  </si>
  <si>
    <t>MyLocalDoc</t>
  </si>
  <si>
    <t>QLD</t>
  </si>
  <si>
    <t>Active</t>
  </si>
  <si>
    <t>General, Floor care</t>
  </si>
  <si>
    <t>Chase Commercial</t>
  </si>
  <si>
    <t>General</t>
  </si>
  <si>
    <t>—</t>
  </si>
  <si>
    <t>RayWhite Redcliffe</t>
  </si>
  <si>
    <t>General, Window</t>
  </si>
  <si>
    <t>Weekly</t>
  </si>
  <si>
    <t>Slate Property</t>
  </si>
  <si>
    <t>Nova Systems</t>
  </si>
  <si>
    <t>Mitchelton Dental Care</t>
  </si>
  <si>
    <t>Parkside Group</t>
  </si>
  <si>
    <t>Seam Spatial</t>
  </si>
  <si>
    <t>15 Felix Street</t>
  </si>
  <si>
    <t>Pressure washing</t>
  </si>
  <si>
    <t>Quarterly</t>
  </si>
  <si>
    <t>Griffin National Realestate</t>
  </si>
  <si>
    <t>Inactive</t>
  </si>
  <si>
    <t>Fortnightly</t>
  </si>
  <si>
    <t>TOTAL (all clients)</t>
  </si>
  <si>
    <t>Monthly Profit &amp; Loss (approved Xero transactions)</t>
  </si>
  <si>
    <t>Source: Supabase xero_approved_transactions · 28 Jun 2026. Net = Income − Expense.</t>
  </si>
  <si>
    <t>Month</t>
  </si>
  <si>
    <t>Income</t>
  </si>
  <si>
    <t>Expense</t>
  </si>
  <si>
    <t>Net</t>
  </si>
  <si>
    <t>Nov 2024</t>
  </si>
  <si>
    <t>Apr 2026</t>
  </si>
  <si>
    <t>May 2026</t>
  </si>
  <si>
    <t>Jun 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</si>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</sst>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;($#,##0);&quot;-&quot;"/>
    <numFmt numFmtId="165" formatCode="0.0%"/>
    <numFmt numFmtId="166" formatCode="0.0"/>
    <numFmt numFmtId="167" formatCode="$#,##0.00;($#,##0.00);&quot;-&quot;"/>
  </numFmts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595959"/>
      <sz val="9"/>
      <name val="Arial"/>
    </font>
    <font>
      <b/>
      <color rgb="FF595959"/>
      <sz val="10"/>
      <name val="Arial"/>
    </font>
    <font>
      <b/>
      <color rgb="FF1F3A5F"/>
      <sz val="18"/>
      <name val="Arial"/>
    </font>
    <font>
      <b/>
      <color rgb="FF2E75B6"/>
      <sz val="11"/>
      <name val="Arial"/>
    </font>
    <font>
      <b/>
      <color rgb="FFFFFFFF"/>
      <sz val="9"/>
      <name val="Arial"/>
    </font>
    <font>
      <sz val="10"/>
      <name val="Arial"/>
    </font>
    <font>
      <b/>
      <color rgb="FFFFFFFF"/>
      <sz val="10"/>
      <name val="Arial"/>
    </font>
    <font>
      <b/>
      <color rgb="FF1E8449"/>
      <sz val="10"/>
      <name val="Arial"/>
    </font>
    <font>
      <color rgb="FF0000FF"/>
      <sz val="10"/>
      <name val="Arial"/>
    </font>
    <font>
      <color rgb="FF000000"/>
      <sz val="10"/>
      <name val="Arial"/>
    </font>
    <font>
      <b/>
      <color rgb="FFC0392B"/>
      <sz val="10"/>
      <name val="Arial"/>
    </font>
    <font>
      <b/>
      <color rgb="FF1F3A5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AF1F8"/>
      </patternFill>
    </fill>
    <fill>
      <patternFill patternType="solid">
        <fgColor rgb="FF2E75B6"/>
      </patternFill>
    </fill>
    <fill>
      <patternFill patternType="solid">
        <fgColor rgb="FFF4F8FC"/>
      </patternFill>
    </fill>
  </fills>
  <borders count="6">
    <border>
      <left/>
      <right/>
      <top/>
      <bottom/>
      <diagonal/>
    </border>
    <border>
      <left style="thin">
        <color rgb="FFCCD8E6"/>
      </left>
      <right style="thin">
        <color rgb="FFCCD8E6"/>
      </right>
      <top style="thin">
        <color rgb="FFCCD8E6"/>
      </top>
      <bottom/>
      <diagonal/>
    </border>
    <border>
      <left style="thin">
        <color rgb="FFCCD8E6"/>
      </left>
      <right style="thin">
        <color rgb="FFCCD8E6"/>
      </right>
      <top/>
      <bottom style="thin">
        <color rgb="FFCCD8E6"/>
      </bottom>
      <diagonal/>
    </border>
    <border>
      <left/>
      <right/>
      <top/>
      <bottom style="thin">
        <color rgb="FFBBBBBB"/>
      </bottom>
      <diagonal/>
    </border>
    <border>
      <left/>
      <right/>
      <top style="double">
        <color rgb="FF2E75B6"/>
      </top>
      <bottom/>
      <diagonal/>
    </border>
    <border>
      <left/>
      <right/>
      <top style="double">
        <color rgb="FF1E8449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vertical="center" indent="1"/>
    </xf>
    <xf numFmtId="1" fontId="4" fillId="3" borderId="2" xfId="0" applyNumberFormat="1" applyFont="1" applyFill="1" applyBorder="1" applyAlignment="1">
      <alignment vertical="center" indent="1"/>
    </xf>
    <xf numFmtId="164" fontId="4" fillId="3" borderId="2" xfId="0" applyNumberFormat="1" applyFont="1" applyFill="1" applyBorder="1" applyAlignment="1">
      <alignment vertical="center" indent="1"/>
    </xf>
    <xf numFmtId="165" fontId="4" fillId="3" borderId="2" xfId="0" applyNumberFormat="1" applyFont="1" applyFill="1" applyBorder="1" applyAlignment="1">
      <alignment vertical="center" indent="1"/>
    </xf>
    <xf numFmtId="0" fontId="5" fillId="0" borderId="0" xfId="0" applyFont="1"/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7" fillId="0" borderId="0" xfId="0" applyFont="1"/>
    <xf numFmtId="164" fontId="7" fillId="0" borderId="0" xfId="0" applyNumberFormat="1" applyFont="1"/>
    <xf numFmtId="165" fontId="7" fillId="0" borderId="0" xfId="0" applyNumberFormat="1" applyFont="1"/>
    <xf numFmtId="0" fontId="7" fillId="5" borderId="0" xfId="0" applyFont="1" applyFill="1"/>
    <xf numFmtId="164" fontId="7" fillId="5" borderId="0" xfId="0" applyNumberFormat="1" applyFont="1" applyFill="1"/>
    <xf numFmtId="165" fontId="7" fillId="5" borderId="0" xfId="0" applyNumberFormat="1" applyFont="1" applyFill="1"/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0" borderId="0" xfId="0" applyFont="1"/>
    <xf numFmtId="166" fontId="7" fillId="0" borderId="0" xfId="0" applyNumberFormat="1" applyFont="1"/>
    <xf numFmtId="167" fontId="10" fillId="0" borderId="0" xfId="0" applyNumberFormat="1" applyFont="1"/>
    <xf numFmtId="165" fontId="11" fillId="0" borderId="0" xfId="0" applyNumberFormat="1" applyFont="1"/>
    <xf numFmtId="0" fontId="9" fillId="5" borderId="0" xfId="0" applyFont="1" applyFill="1"/>
    <xf numFmtId="166" fontId="7" fillId="5" borderId="0" xfId="0" applyNumberFormat="1" applyFont="1" applyFill="1"/>
    <xf numFmtId="167" fontId="10" fillId="5" borderId="0" xfId="0" applyNumberFormat="1" applyFont="1" applyFill="1"/>
    <xf numFmtId="165" fontId="11" fillId="5" borderId="0" xfId="0" applyNumberFormat="1" applyFont="1" applyFill="1"/>
    <xf numFmtId="0" fontId="12" fillId="5" borderId="0" xfId="0" applyFont="1" applyFill="1"/>
    <xf numFmtId="0" fontId="13" fillId="3" borderId="4" xfId="0" applyFont="1" applyFill="1" applyBorder="1"/>
    <xf numFmtId="167" fontId="13" fillId="3" borderId="4" xfId="0" applyNumberFormat="1" applyFont="1" applyFill="1" applyBorder="1"/>
    <xf numFmtId="165" fontId="13" fillId="3" borderId="4" xfId="0" applyNumberFormat="1" applyFont="1" applyFill="1" applyBorder="1"/>
    <xf numFmtId="167" fontId="7" fillId="0" borderId="0" xfId="0" applyNumberFormat="1" applyFont="1"/>
    <xf numFmtId="167" fontId="7" fillId="5" borderId="0" xfId="0" applyNumberFormat="1" applyFont="1" applyFill="1"/>
    <xf numFmtId="0" fontId="13" fillId="3" borderId="5" xfId="0" applyFont="1" applyFill="1" applyBorder="1"/>
    <xf numFmtId="167" fontId="13" fillId="3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F2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16" customHeight="1" spans="2:5" x14ac:dyDescent="0.25">
      <c r="B4" s="3" t="s">
        <v>2</v>
      </c>
      <c r="E4" s="3" t="s">
        <v>3</v>
      </c>
    </row>
    <row r="5" ht="26" customHeight="1" spans="2:5" x14ac:dyDescent="0.25">
      <c r="B5" s="4">
        <f>COUNTIF(Clients!C5:C14,"Active")</f>
        <v>9</v>
      </c>
      <c r="E5" s="5">
        <f>SUMIF(Clients!C5:C14,"Active",Clients!G5:G14)</f>
        <v>11275.39</v>
      </c>
    </row>
    <row r="7" ht="16" customHeight="1" spans="2:5" x14ac:dyDescent="0.25">
      <c r="B7" s="3" t="s">
        <v>4</v>
      </c>
      <c r="E7" s="3" t="s">
        <v>5</v>
      </c>
    </row>
    <row r="8" ht="26" customHeight="1" spans="2:5" x14ac:dyDescent="0.25">
      <c r="B8" s="5">
        <f>SUMIF(Clients!C5:C14,"Active",Clients!H5:H14)</f>
        <v>135304.68</v>
      </c>
      <c r="E8" s="5">
        <f>SUMIF(Clients!C5:C14,"Active",Clients!I5:I14)</f>
        <v>5149.67</v>
      </c>
    </row>
    <row r="10" ht="16" customHeight="1" spans="2:5" x14ac:dyDescent="0.25">
      <c r="B10" s="3" t="s">
        <v>6</v>
      </c>
      <c r="E10" s="3" t="s">
        <v>7</v>
      </c>
    </row>
    <row r="11" ht="26" customHeight="1" spans="2:5" x14ac:dyDescent="0.25">
      <c r="B11" s="6">
        <f>IFERROR(SUMIF(Clients!C5:C14,"Active",Clients!I5:I14)/SUMIF(Clients!C5:C14,"Active",Clients!G5:G14),0)</f>
        <v>0.4567176833794663</v>
      </c>
      <c r="E11" s="5">
        <f>'Monthly P&amp;L'!B8</f>
        <v>10340</v>
      </c>
    </row>
    <row r="14" spans="2:2" x14ac:dyDescent="0.25">
      <c r="B14" s="7" t="s">
        <v>8</v>
      </c>
    </row>
    <row r="15" spans="2:4" x14ac:dyDescent="0.25">
      <c r="B15" s="8" t="s">
        <v>9</v>
      </c>
      <c r="C15" s="9" t="s">
        <v>10</v>
      </c>
      <c r="D15" s="9" t="s">
        <v>11</v>
      </c>
    </row>
    <row r="16" spans="2:4" x14ac:dyDescent="0.25">
      <c r="B16" s="10" t="str">
        <f>Clients!A5</f>
        <v>MyLocalDoc</v>
      </c>
      <c r="C16" s="11">
        <f>Clients!G5</f>
        <v>3079.99</v>
      </c>
      <c r="D16" s="12">
        <f>Clients!J5</f>
        <v>0.4805177938889412</v>
      </c>
    </row>
    <row r="17" spans="2:4" x14ac:dyDescent="0.25">
      <c r="B17" s="13" t="str">
        <f>Clients!A6</f>
        <v>Chase Commercial</v>
      </c>
      <c r="C17" s="14">
        <f>Clients!G6</f>
        <v>2177.07</v>
      </c>
      <c r="D17" s="15">
        <f>Clients!J6</f>
        <v>0.4028671563155985</v>
      </c>
    </row>
    <row r="18" spans="2:4" x14ac:dyDescent="0.25">
      <c r="B18" s="10" t="str">
        <f>Clients!A7</f>
        <v>RayWhite Redcliffe</v>
      </c>
      <c r="C18" s="11">
        <f>Clients!G7</f>
        <v>1690</v>
      </c>
      <c r="D18" s="12">
        <f>Clients!J7</f>
        <v>0.38461538461538464</v>
      </c>
    </row>
    <row r="19" spans="2:4" x14ac:dyDescent="0.25">
      <c r="B19" s="13" t="str">
        <f>Clients!A8</f>
        <v>Slate Property</v>
      </c>
      <c r="C19" s="14">
        <f>Clients!G8</f>
        <v>975</v>
      </c>
      <c r="D19" s="15">
        <f>Clients!J8</f>
        <v>0.6505538461538461</v>
      </c>
    </row>
    <row r="20" spans="2:4" x14ac:dyDescent="0.25">
      <c r="B20" s="10" t="str">
        <f>Clients!A9</f>
        <v>Nova Systems</v>
      </c>
      <c r="C20" s="11">
        <f>Clients!G9</f>
        <v>823.33</v>
      </c>
      <c r="D20" s="12">
        <f>Clients!J9</f>
        <v>0.44736618366875974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J1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7" customWidth="1"/>
    <col min="3" max="3" width="10" customWidth="1"/>
    <col min="4" max="4" width="22" customWidth="1"/>
    <col min="5" max="5" width="12" customWidth="1"/>
    <col min="6" max="6" width="10" customWidth="1"/>
    <col min="7" max="9" width="15" customWidth="1"/>
  </cols>
  <sheetData>
    <row r="1" ht="28" customHeight="1" spans="1:10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16" t="s">
        <v>9</v>
      </c>
      <c r="B4" s="17" t="s">
        <v>14</v>
      </c>
      <c r="C4" s="17" t="s">
        <v>15</v>
      </c>
      <c r="D4" s="17" t="s">
        <v>16</v>
      </c>
      <c r="E4" s="17" t="s">
        <v>17</v>
      </c>
      <c r="F4" s="17" t="s">
        <v>18</v>
      </c>
      <c r="G4" s="17" t="s">
        <v>19</v>
      </c>
      <c r="H4" s="17" t="s">
        <v>20</v>
      </c>
      <c r="I4" s="17" t="s">
        <v>21</v>
      </c>
      <c r="J4" s="17" t="s">
        <v>11</v>
      </c>
    </row>
    <row r="5" spans="1:10" x14ac:dyDescent="0.25">
      <c r="A5" s="10" t="s">
        <v>22</v>
      </c>
      <c r="B5" s="10" t="s">
        <v>23</v>
      </c>
      <c r="C5" s="18" t="s">
        <v>24</v>
      </c>
      <c r="D5" s="10" t="s">
        <v>25</v>
      </c>
      <c r="E5" s="10" t="s">
        <v>10</v>
      </c>
      <c r="F5" s="19">
        <v>1</v>
      </c>
      <c r="G5" s="20">
        <v>3079.99</v>
      </c>
      <c r="H5" s="20">
        <v>36959.88</v>
      </c>
      <c r="I5" s="20">
        <v>1479.99</v>
      </c>
      <c r="J5" s="21">
        <f>IFERROR(I5/G5,0)</f>
        <v>0.4805177938889412</v>
      </c>
    </row>
    <row r="6" spans="1:10" x14ac:dyDescent="0.25">
      <c r="A6" s="13" t="s">
        <v>26</v>
      </c>
      <c r="B6" s="13" t="s">
        <v>23</v>
      </c>
      <c r="C6" s="22" t="s">
        <v>24</v>
      </c>
      <c r="D6" s="13" t="s">
        <v>27</v>
      </c>
      <c r="E6" s="13" t="s">
        <v>28</v>
      </c>
      <c r="F6" s="23">
        <v>0</v>
      </c>
      <c r="G6" s="24">
        <v>2177.07</v>
      </c>
      <c r="H6" s="24">
        <v>26124.84</v>
      </c>
      <c r="I6" s="24">
        <v>877.07</v>
      </c>
      <c r="J6" s="25">
        <f>IFERROR(I6/G6,0)</f>
        <v>0.4028671563155985</v>
      </c>
    </row>
    <row r="7" spans="1:10" x14ac:dyDescent="0.25">
      <c r="A7" s="10" t="s">
        <v>29</v>
      </c>
      <c r="B7" s="10" t="s">
        <v>23</v>
      </c>
      <c r="C7" s="18" t="s">
        <v>24</v>
      </c>
      <c r="D7" s="10" t="s">
        <v>30</v>
      </c>
      <c r="E7" s="10" t="s">
        <v>31</v>
      </c>
      <c r="F7" s="19">
        <v>4.333</v>
      </c>
      <c r="G7" s="20">
        <v>1690</v>
      </c>
      <c r="H7" s="20">
        <v>20280</v>
      </c>
      <c r="I7" s="20">
        <v>650</v>
      </c>
      <c r="J7" s="21">
        <f>IFERROR(I7/G7,0)</f>
        <v>0.38461538461538464</v>
      </c>
    </row>
    <row r="8" spans="1:10" x14ac:dyDescent="0.25">
      <c r="A8" s="13" t="s">
        <v>32</v>
      </c>
      <c r="B8" s="13" t="s">
        <v>23</v>
      </c>
      <c r="C8" s="22" t="s">
        <v>24</v>
      </c>
      <c r="D8" s="13" t="s">
        <v>27</v>
      </c>
      <c r="E8" s="13" t="s">
        <v>28</v>
      </c>
      <c r="F8" s="23">
        <v>1</v>
      </c>
      <c r="G8" s="24">
        <v>975</v>
      </c>
      <c r="H8" s="24">
        <v>11700</v>
      </c>
      <c r="I8" s="24">
        <v>634.29</v>
      </c>
      <c r="J8" s="25">
        <f>IFERROR(I8/G8,0)</f>
        <v>0.6505538461538461</v>
      </c>
    </row>
    <row r="9" spans="1:10" x14ac:dyDescent="0.25">
      <c r="A9" s="10" t="s">
        <v>33</v>
      </c>
      <c r="B9" s="10" t="s">
        <v>23</v>
      </c>
      <c r="C9" s="18" t="s">
        <v>24</v>
      </c>
      <c r="D9" s="10" t="s">
        <v>27</v>
      </c>
      <c r="E9" s="10" t="s">
        <v>31</v>
      </c>
      <c r="F9" s="19">
        <v>4.333</v>
      </c>
      <c r="G9" s="20">
        <v>823.33</v>
      </c>
      <c r="H9" s="20">
        <v>9879.96</v>
      </c>
      <c r="I9" s="20">
        <v>368.33</v>
      </c>
      <c r="J9" s="21">
        <f>IFERROR(I9/G9,0)</f>
        <v>0.44736618366875974</v>
      </c>
    </row>
    <row r="10" spans="1:10" x14ac:dyDescent="0.25">
      <c r="A10" s="13" t="s">
        <v>34</v>
      </c>
      <c r="B10" s="13" t="s">
        <v>23</v>
      </c>
      <c r="C10" s="22" t="s">
        <v>24</v>
      </c>
      <c r="D10" s="13" t="s">
        <v>27</v>
      </c>
      <c r="E10" s="13" t="s">
        <v>10</v>
      </c>
      <c r="F10" s="23">
        <v>1</v>
      </c>
      <c r="G10" s="24">
        <v>820</v>
      </c>
      <c r="H10" s="24">
        <v>9840</v>
      </c>
      <c r="I10" s="24">
        <v>330</v>
      </c>
      <c r="J10" s="25">
        <f>IFERROR(I10/G10,0)</f>
        <v>0.4024390243902439</v>
      </c>
    </row>
    <row r="11" spans="1:10" x14ac:dyDescent="0.25">
      <c r="A11" s="10" t="s">
        <v>35</v>
      </c>
      <c r="B11" s="10" t="s">
        <v>23</v>
      </c>
      <c r="C11" s="18" t="s">
        <v>24</v>
      </c>
      <c r="D11" s="10" t="s">
        <v>27</v>
      </c>
      <c r="E11" s="10" t="s">
        <v>31</v>
      </c>
      <c r="F11" s="19">
        <v>4.333</v>
      </c>
      <c r="G11" s="20">
        <v>650</v>
      </c>
      <c r="H11" s="20">
        <v>7800</v>
      </c>
      <c r="I11" s="20">
        <v>270.83</v>
      </c>
      <c r="J11" s="21">
        <f>IFERROR(I11/G11,0)</f>
        <v>0.4166615384615384</v>
      </c>
    </row>
    <row r="12" spans="1:10" x14ac:dyDescent="0.25">
      <c r="A12" s="13" t="s">
        <v>36</v>
      </c>
      <c r="B12" s="13" t="s">
        <v>23</v>
      </c>
      <c r="C12" s="22" t="s">
        <v>24</v>
      </c>
      <c r="D12" s="13" t="s">
        <v>27</v>
      </c>
      <c r="E12" s="13" t="s">
        <v>31</v>
      </c>
      <c r="F12" s="23">
        <v>4.333</v>
      </c>
      <c r="G12" s="24">
        <v>650</v>
      </c>
      <c r="H12" s="24">
        <v>7800</v>
      </c>
      <c r="I12" s="24">
        <v>270.83</v>
      </c>
      <c r="J12" s="25">
        <f>IFERROR(I12/G12,0)</f>
        <v>0.4166615384615384</v>
      </c>
    </row>
    <row r="13" spans="1:10" x14ac:dyDescent="0.25">
      <c r="A13" s="10" t="s">
        <v>37</v>
      </c>
      <c r="B13" s="10" t="s">
        <v>23</v>
      </c>
      <c r="C13" s="18" t="s">
        <v>24</v>
      </c>
      <c r="D13" s="10" t="s">
        <v>38</v>
      </c>
      <c r="E13" s="10" t="s">
        <v>39</v>
      </c>
      <c r="F13" s="19">
        <v>0.333</v>
      </c>
      <c r="G13" s="20">
        <v>410</v>
      </c>
      <c r="H13" s="20">
        <v>4920</v>
      </c>
      <c r="I13" s="20">
        <v>268.33</v>
      </c>
      <c r="J13" s="21">
        <f>IFERROR(I13/G13,0)</f>
        <v>0.6544634146341463</v>
      </c>
    </row>
    <row r="14" spans="1:10" x14ac:dyDescent="0.25">
      <c r="A14" s="13" t="s">
        <v>40</v>
      </c>
      <c r="B14" s="13" t="s">
        <v>23</v>
      </c>
      <c r="C14" s="26" t="s">
        <v>41</v>
      </c>
      <c r="D14" s="13" t="s">
        <v>30</v>
      </c>
      <c r="E14" s="13" t="s">
        <v>42</v>
      </c>
      <c r="F14" s="23">
        <v>2.167</v>
      </c>
      <c r="G14" s="24">
        <v>303.33</v>
      </c>
      <c r="H14" s="24">
        <v>3639.96</v>
      </c>
      <c r="I14" s="24">
        <v>130</v>
      </c>
      <c r="J14" s="25">
        <f>IFERROR(I14/G14,0)</f>
        <v>0.4285761381993209</v>
      </c>
    </row>
    <row r="15" spans="1:10" x14ac:dyDescent="0.25">
      <c r="A15" s="27" t="s">
        <v>43</v>
      </c>
      <c r="B15" s="27"/>
      <c r="C15" s="27"/>
      <c r="D15" s="27"/>
      <c r="E15" s="27"/>
      <c r="F15" s="27"/>
      <c r="G15" s="28">
        <f>SUM(G5:G14)</f>
        <v>11578.72</v>
      </c>
      <c r="H15" s="28">
        <f>SUM(H5:H14)</f>
        <v>138944.63999999998</v>
      </c>
      <c r="I15" s="28">
        <f>SUM(I5:I14)</f>
        <v>5279.67</v>
      </c>
      <c r="J15" s="29">
        <f>IFERROR(I15/G15,0)</f>
        <v>0.4559804537980019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A1:D9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8" customHeight="1" spans="1:4" x14ac:dyDescent="0.25">
      <c r="A1" s="1" t="s">
        <v>44</v>
      </c>
      <c r="B1" s="1"/>
      <c r="C1" s="1"/>
      <c r="D1" s="1"/>
    </row>
    <row r="2" spans="1:4" x14ac:dyDescent="0.25">
      <c r="A2" s="2" t="s">
        <v>45</v>
      </c>
      <c r="B2" s="2"/>
      <c r="C2" s="2"/>
      <c r="D2" s="2"/>
    </row>
    <row r="4" ht="22" customHeight="1" spans="1:4" x14ac:dyDescent="0.25">
      <c r="A4" s="16" t="s">
        <v>46</v>
      </c>
      <c r="B4" s="17" t="s">
        <v>47</v>
      </c>
      <c r="C4" s="17" t="s">
        <v>48</v>
      </c>
      <c r="D4" s="17" t="s">
        <v>49</v>
      </c>
    </row>
    <row r="5" spans="1:4" x14ac:dyDescent="0.25">
      <c r="A5" s="10" t="s">
        <v>50</v>
      </c>
      <c r="B5" s="20">
        <v>250</v>
      </c>
      <c r="C5" s="20">
        <v>154</v>
      </c>
      <c r="D5" s="30">
        <f>B5-C5</f>
        <v>96</v>
      </c>
    </row>
    <row r="6" spans="1:4" x14ac:dyDescent="0.25">
      <c r="A6" s="13" t="s">
        <v>51</v>
      </c>
      <c r="B6" s="24">
        <v>2519</v>
      </c>
      <c r="C6" s="24">
        <v>0</v>
      </c>
      <c r="D6" s="31">
        <f>B6-C6</f>
        <v>2519</v>
      </c>
    </row>
    <row r="7" spans="1:4" x14ac:dyDescent="0.25">
      <c r="A7" s="10" t="s">
        <v>52</v>
      </c>
      <c r="B7" s="20">
        <v>10712.9</v>
      </c>
      <c r="C7" s="20">
        <v>0</v>
      </c>
      <c r="D7" s="30">
        <f>B7-C7</f>
        <v>10712.9</v>
      </c>
    </row>
    <row r="8" spans="1:4" x14ac:dyDescent="0.25">
      <c r="A8" s="13" t="s">
        <v>53</v>
      </c>
      <c r="B8" s="24">
        <v>10340</v>
      </c>
      <c r="C8" s="24">
        <v>0</v>
      </c>
      <c r="D8" s="31">
        <f>B8-C8</f>
        <v>10340</v>
      </c>
    </row>
    <row r="9" spans="1:4" x14ac:dyDescent="0.25">
      <c r="A9" s="32" t="s">
        <v>54</v>
      </c>
      <c r="B9" s="33">
        <f>SUM(B5:B8)</f>
        <v>23821.9</v>
      </c>
      <c r="C9" s="33">
        <f>SUM(C5:C8)</f>
        <v>154</v>
      </c>
      <c r="D9" s="33">
        <f>SUM(D5:D8)</f>
        <v>23667.9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Clients</vt:lpstr>
      <vt:lpstr>Monthly 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Operations Hub</dc:creator>
  <dc:title/>
  <dc:subject/>
  <dc:description/>
  <cp:keywords/>
  <cp:category/>
  <cp:lastModifiedBy>Unknown</cp:lastModifiedBy>
  <dcterms:created xsi:type="dcterms:W3CDTF">2026-06-28T14:33:35Z</dcterms:created>
  <dcterms:modified xsi:type="dcterms:W3CDTF">2026-06-28T14:33:35Z</dcterms:modified>
</cp:coreProperties>
</file>